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5.xml" ContentType="application/vnd.openxmlformats-officedocument.spreadsheetml.pivotTable+xml"/>
  <Override PartName="/xl/pivotTables/pivotTable6.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F:\skillFilled Intern 2026\"/>
    </mc:Choice>
  </mc:AlternateContent>
  <xr:revisionPtr revIDLastSave="0" documentId="13_ncr:1_{2420404A-A5AA-46C5-8629-A6ADED422BA4}" xr6:coauthVersionLast="47" xr6:coauthVersionMax="47" xr10:uidLastSave="{00000000-0000-0000-0000-000000000000}"/>
  <bookViews>
    <workbookView xWindow="-108" yWindow="-108" windowWidth="23256" windowHeight="12576" firstSheet="4" activeTab="4" xr2:uid="{95840B77-AC2B-41C3-BD54-4C76ACE99B94}"/>
  </bookViews>
  <sheets>
    <sheet name="emp_depa" sheetId="2" state="hidden" r:id="rId1"/>
    <sheet name="emp_gender" sheetId="4" state="hidden" r:id="rId2"/>
    <sheet name="attr_dep" sheetId="5" state="hidden" r:id="rId3"/>
    <sheet name="avg_depar" sheetId="6" state="hidden" r:id="rId4"/>
    <sheet name="HR_DASHBOARD" sheetId="7" r:id="rId5"/>
    <sheet name="avgexp_dep" sheetId="8" state="hidden" r:id="rId6"/>
    <sheet name="attCo_kpi" sheetId="9" state="hidden" r:id="rId7"/>
    <sheet name="Dataset_hr" sheetId="1" r:id="rId8"/>
  </sheets>
  <definedNames>
    <definedName name="Slicer_Department">#N/A</definedName>
    <definedName name="Slicer_Gender">#N/A</definedName>
    <definedName name="Slicer_Location">#N/A</definedName>
  </definedNames>
  <calcPr calcId="191029"/>
  <pivotCaches>
    <pivotCache cacheId="0" r:id="rId9"/>
  </pivotCaches>
  <extLst>
    <ext xmlns:x14="http://schemas.microsoft.com/office/spreadsheetml/2009/9/main" uri="{BBE1A952-AA13-448e-AADC-164F8A28A991}">
      <x14:slicerCaches>
        <x14:slicerCache r:id="rId10"/>
        <x14:slicerCache r:id="rId11"/>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L8" i="7" l="1"/>
  <c r="Q8" i="7"/>
  <c r="G8" i="7"/>
  <c r="B8" i="7"/>
</calcChain>
</file>

<file path=xl/sharedStrings.xml><?xml version="1.0" encoding="utf-8"?>
<sst xmlns="http://schemas.openxmlformats.org/spreadsheetml/2006/main" count="139" uniqueCount="65">
  <si>
    <t>Emp_ID</t>
  </si>
  <si>
    <t>Employee_Name</t>
  </si>
  <si>
    <t>Department</t>
  </si>
  <si>
    <t>Gender</t>
  </si>
  <si>
    <t>Age</t>
  </si>
  <si>
    <t>Salary</t>
  </si>
  <si>
    <t>Experience_Years</t>
  </si>
  <si>
    <t>Location</t>
  </si>
  <si>
    <t>Joining_Date</t>
  </si>
  <si>
    <t>Attrition</t>
  </si>
  <si>
    <t>E001</t>
  </si>
  <si>
    <t>John</t>
  </si>
  <si>
    <t>IT</t>
  </si>
  <si>
    <t>Male</t>
  </si>
  <si>
    <t>Hyderabad</t>
  </si>
  <si>
    <t>No</t>
  </si>
  <si>
    <t>E002</t>
  </si>
  <si>
    <t>Priya</t>
  </si>
  <si>
    <t>HR</t>
  </si>
  <si>
    <t>Female</t>
  </si>
  <si>
    <t>Bangalore</t>
  </si>
  <si>
    <t>E003</t>
  </si>
  <si>
    <t>Rahul</t>
  </si>
  <si>
    <t>Finance</t>
  </si>
  <si>
    <t>Chennai</t>
  </si>
  <si>
    <t>Yes</t>
  </si>
  <si>
    <t>E004</t>
  </si>
  <si>
    <t>Sneha</t>
  </si>
  <si>
    <t>E005</t>
  </si>
  <si>
    <t>Arjun</t>
  </si>
  <si>
    <t>Sales</t>
  </si>
  <si>
    <t>Mumbai</t>
  </si>
  <si>
    <t>E006</t>
  </si>
  <si>
    <t>Kavya</t>
  </si>
  <si>
    <t>E007</t>
  </si>
  <si>
    <t>Rohit</t>
  </si>
  <si>
    <t>E008</t>
  </si>
  <si>
    <t>Divya</t>
  </si>
  <si>
    <t>E009</t>
  </si>
  <si>
    <t>Amit</t>
  </si>
  <si>
    <t>E010</t>
  </si>
  <si>
    <t>Pooja</t>
  </si>
  <si>
    <t>E011</t>
  </si>
  <si>
    <t>Vikram</t>
  </si>
  <si>
    <t>E012</t>
  </si>
  <si>
    <t>Neha</t>
  </si>
  <si>
    <t>E013</t>
  </si>
  <si>
    <t>Kiran</t>
  </si>
  <si>
    <t>E014</t>
  </si>
  <si>
    <t>Anjali</t>
  </si>
  <si>
    <t>E015</t>
  </si>
  <si>
    <t>Suresh</t>
  </si>
  <si>
    <t>Row Labels</t>
  </si>
  <si>
    <t>Grand Total</t>
  </si>
  <si>
    <t>Count of Emp_ID</t>
  </si>
  <si>
    <t>Count of Attrition</t>
  </si>
  <si>
    <t>Average of Salary</t>
  </si>
  <si>
    <t>Hr Dashboard</t>
  </si>
  <si>
    <t>Average Salary</t>
  </si>
  <si>
    <t>Average Experience</t>
  </si>
  <si>
    <t>Attrition Count</t>
  </si>
  <si>
    <t xml:space="preserve">
=sum(Seet1!A1:A16)</t>
  </si>
  <si>
    <t>Average of Experience_Years</t>
  </si>
  <si>
    <t/>
  </si>
  <si>
    <t>Total Employees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</si>
</sst>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quot;₹&quot;\ #,##0"/>
  </numFmts>
  <fonts count="5" x14ac:knownFonts="1">
    <font>
      <sz val="11"/>
      <color theme="1"/>
      <name val="Calibri"/>
      <family val="2"/>
      <scheme val="minor"/>
    </font>
    <font>
      <b/>
      <sz val="11"/>
      <color theme="1"/>
      <name val="Calibri"/>
      <family val="2"/>
      <scheme val="minor"/>
    </font>
    <font>
      <b/>
      <sz val="20"/>
      <color theme="1"/>
      <name val="Calibri"/>
      <family val="2"/>
      <scheme val="minor"/>
    </font>
    <font>
      <b/>
      <sz val="18"/>
      <color theme="1"/>
      <name val="Calibri"/>
      <family val="2"/>
      <scheme val="minor"/>
    </font>
    <font>
      <b/>
      <sz val="26"/>
      <color theme="0"/>
      <name val="Calibri"/>
      <family val="2"/>
      <scheme val="minor"/>
    </font>
  </fonts>
  <fills count="4">
    <fill>
      <patternFill patternType="none"/>
    </fill>
    <fill>
      <patternFill patternType="gray125"/>
    </fill>
    <fill>
      <patternFill patternType="solid">
        <fgColor theme="2"/>
        <bgColor indexed="64"/>
      </patternFill>
    </fill>
    <fill>
      <patternFill patternType="solid">
        <fgColor theme="4"/>
        <bgColor indexed="64"/>
      </patternFill>
    </fill>
  </fills>
  <borders count="1">
    <border>
      <left/>
      <right/>
      <top/>
      <bottom/>
      <diagonal/>
    </border>
  </borders>
  <cellStyleXfs count="1">
    <xf numFmtId="0" fontId="0" fillId="0" borderId="0"/>
  </cellStyleXfs>
  <cellXfs count="20">
    <xf numFmtId="0" fontId="0" fillId="0" borderId="0" xfId="0"/>
    <xf numFmtId="0" fontId="1" fillId="0" borderId="0" xfId="0" applyFont="1" applyAlignment="1">
      <alignment horizontal="center" vertical="center" wrapText="1"/>
    </xf>
    <xf numFmtId="0" fontId="0" fillId="0" borderId="0" xfId="0" applyAlignment="1">
      <alignment vertical="center" wrapText="1"/>
    </xf>
    <xf numFmtId="14" fontId="0" fillId="0" borderId="0" xfId="0" applyNumberFormat="1" applyAlignment="1">
      <alignment vertical="center" wrapText="1"/>
    </xf>
    <xf numFmtId="2" fontId="1" fillId="0" borderId="0" xfId="0" applyNumberFormat="1" applyFont="1" applyAlignment="1">
      <alignment horizontal="center" vertical="center" wrapText="1"/>
    </xf>
    <xf numFmtId="2" fontId="0" fillId="0" borderId="0" xfId="0" applyNumberFormat="1" applyAlignment="1">
      <alignment vertical="center" wrapText="1"/>
    </xf>
    <xf numFmtId="2" fontId="0" fillId="0" borderId="0" xfId="0" applyNumberFormat="1"/>
    <xf numFmtId="0" fontId="0" fillId="0" borderId="0" xfId="0" pivotButton="1"/>
    <xf numFmtId="0" fontId="0" fillId="0" borderId="0" xfId="0" applyAlignment="1">
      <alignment horizontal="left"/>
    </xf>
    <xf numFmtId="0" fontId="0" fillId="0" borderId="0" xfId="0" applyAlignment="1">
      <alignment vertical="top" wrapText="1"/>
    </xf>
    <xf numFmtId="0" fontId="0" fillId="0" borderId="0" xfId="0" applyAlignment="1">
      <alignment vertical="top"/>
    </xf>
    <xf numFmtId="164" fontId="2" fillId="2" borderId="0" xfId="0" applyNumberFormat="1" applyFont="1" applyFill="1" applyAlignment="1">
      <alignment horizontal="center" vertical="top"/>
    </xf>
    <xf numFmtId="0" fontId="3" fillId="2" borderId="0" xfId="0" applyFont="1" applyFill="1" applyAlignment="1">
      <alignment horizontal="center" vertical="top"/>
    </xf>
    <xf numFmtId="0" fontId="2" fillId="2" borderId="0" xfId="0" applyFont="1" applyFill="1" applyAlignment="1">
      <alignment horizontal="center" vertical="top"/>
    </xf>
    <xf numFmtId="0" fontId="4" fillId="3" borderId="0" xfId="0" applyFont="1" applyFill="1" applyAlignment="1">
      <alignment horizontal="center" vertical="center"/>
    </xf>
    <xf numFmtId="165" fontId="2" fillId="2" borderId="0" xfId="0" applyNumberFormat="1" applyFont="1" applyFill="1" applyAlignment="1">
      <alignment horizontal="center" vertical="top"/>
    </xf>
    <xf numFmtId="1" fontId="1" fillId="0" borderId="0" xfId="0" applyNumberFormat="1" applyFont="1" applyAlignment="1">
      <alignment horizontal="center" vertical="center" wrapText="1"/>
    </xf>
    <xf numFmtId="1" fontId="0" fillId="0" borderId="0" xfId="0" applyNumberFormat="1" applyAlignment="1">
      <alignment vertical="center" wrapText="1"/>
    </xf>
    <xf numFmtId="1" fontId="0" fillId="0" borderId="0" xfId="0" applyNumberFormat="1"/>
    <xf numFmtId="0" fontId="0" fillId="0" borderId="0" xfId="0" applyNumberFormat="1"/>
  </cellXfs>
  <cellStyles count="1">
    <cellStyle name="Normal" xfId="0" builtinId="0"/>
  </cellStyles>
  <dxfs count="0"/>
  <tableStyles count="0" defaultTableStyle="TableStyleMedium2" defaultPivotStyle="PivotStyleLight16"/>
  <colors>
    <mruColors>
      <color rgb="FFF2F2F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[Hr_Analytics_Dashboard_2026.xlsx]emp_depa!PivotTable8</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emp_depa!$B$3</c:f>
              <c:strCache>
                <c:ptCount val="1"/>
                <c:pt idx="0">
                  <c:v>Total</c:v>
                </c:pt>
              </c:strCache>
            </c:strRef>
          </c:tx>
          <c:spPr>
            <a:solidFill>
              <a:schemeClr val="accent1"/>
            </a:solidFill>
            <a:ln>
              <a:noFill/>
            </a:ln>
            <a:effectLst/>
          </c:spPr>
          <c:invertIfNegative val="0"/>
          <c:cat>
            <c:strRef>
              <c:f>emp_depa!$A$4:$A$5</c:f>
              <c:strCache>
                <c:ptCount val="1"/>
                <c:pt idx="0">
                  <c:v>Finance</c:v>
                </c:pt>
              </c:strCache>
            </c:strRef>
          </c:cat>
          <c:val>
            <c:numRef>
              <c:f>emp_depa!$B$4:$B$5</c:f>
              <c:numCache>
                <c:formatCode>General</c:formatCode>
                <c:ptCount val="1"/>
                <c:pt idx="0">
                  <c:v>1</c:v>
                </c:pt>
              </c:numCache>
            </c:numRef>
          </c:val>
          <c:extLst>
            <c:ext xmlns:c16="http://schemas.microsoft.com/office/drawing/2014/chart" uri="{C3380CC4-5D6E-409C-BE32-E72D297353CC}">
              <c16:uniqueId val="{00000000-F9BF-4B0A-8551-E327088E7A47}"/>
            </c:ext>
          </c:extLst>
        </c:ser>
        <c:dLbls>
          <c:showLegendKey val="0"/>
          <c:showVal val="0"/>
          <c:showCatName val="0"/>
          <c:showSerName val="0"/>
          <c:showPercent val="0"/>
          <c:showBubbleSize val="0"/>
        </c:dLbls>
        <c:gapWidth val="219"/>
        <c:overlap val="-27"/>
        <c:axId val="566632536"/>
        <c:axId val="566635704"/>
      </c:barChart>
      <c:catAx>
        <c:axId val="5666325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6635704"/>
        <c:crosses val="autoZero"/>
        <c:auto val="1"/>
        <c:lblAlgn val="ctr"/>
        <c:lblOffset val="100"/>
        <c:noMultiLvlLbl val="0"/>
      </c:catAx>
      <c:valAx>
        <c:axId val="5666357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66325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[Hr_Analytics_Dashboard_2026.xlsx]emp_gender!PivotTable10</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pieChart>
        <c:varyColors val="1"/>
        <c:ser>
          <c:idx val="0"/>
          <c:order val="0"/>
          <c:tx>
            <c:strRef>
              <c:f>emp_gender!$B$3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067-4E72-8130-56278C2227B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067-4E72-8130-56278C2227B7}"/>
              </c:ext>
            </c:extLst>
          </c:dPt>
          <c:cat>
            <c:strRef>
              <c:f>emp_gender!$A$4:$A$5</c:f>
              <c:strCache>
                <c:ptCount val="1"/>
                <c:pt idx="0">
                  <c:v>Female</c:v>
                </c:pt>
              </c:strCache>
            </c:strRef>
          </c:cat>
          <c:val>
            <c:numRef>
              <c:f>emp_gender!$B$4:$B$5</c:f>
              <c:numCache>
                <c:formatCode>General</c:formatCode>
                <c:ptCount val="1"/>
                <c:pt idx="0">
                  <c:v>1</c:v>
                </c:pt>
              </c:numCache>
            </c:numRef>
          </c:val>
          <c:extLst>
            <c:ext xmlns:c16="http://schemas.microsoft.com/office/drawing/2014/chart" uri="{C3380CC4-5D6E-409C-BE32-E72D297353CC}">
              <c16:uniqueId val="{00000000-17C1-44ED-A393-EEB2FD2C3D5D}"/>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[Hr_Analytics_Dashboard_2026.xlsx]attr_dep!PivotTable11</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attr_dep!$B$3</c:f>
              <c:strCache>
                <c:ptCount val="1"/>
                <c:pt idx="0">
                  <c:v>Total</c:v>
                </c:pt>
              </c:strCache>
            </c:strRef>
          </c:tx>
          <c:spPr>
            <a:solidFill>
              <a:schemeClr val="accent1"/>
            </a:solidFill>
            <a:ln>
              <a:noFill/>
            </a:ln>
            <a:effectLst/>
          </c:spPr>
          <c:invertIfNegative val="0"/>
          <c:cat>
            <c:strRef>
              <c:f>attr_dep!$A$4</c:f>
              <c:strCache>
                <c:ptCount val="1"/>
                <c:pt idx="0">
                  <c:v>Grand Total</c:v>
                </c:pt>
              </c:strCache>
            </c:strRef>
          </c:cat>
          <c:val>
            <c:numRef>
              <c:f>attr_dep!$B$4</c:f>
              <c:numCache>
                <c:formatCode>General</c:formatCode>
                <c:ptCount val="1"/>
              </c:numCache>
            </c:numRef>
          </c:val>
          <c:extLst>
            <c:ext xmlns:c16="http://schemas.microsoft.com/office/drawing/2014/chart" uri="{C3380CC4-5D6E-409C-BE32-E72D297353CC}">
              <c16:uniqueId val="{00000000-AFC3-44DA-954F-B02D3DF0421E}"/>
            </c:ext>
          </c:extLst>
        </c:ser>
        <c:dLbls>
          <c:showLegendKey val="0"/>
          <c:showVal val="0"/>
          <c:showCatName val="0"/>
          <c:showSerName val="0"/>
          <c:showPercent val="0"/>
          <c:showBubbleSize val="0"/>
        </c:dLbls>
        <c:gapWidth val="182"/>
        <c:axId val="563272536"/>
        <c:axId val="563270424"/>
      </c:barChart>
      <c:catAx>
        <c:axId val="56327253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563270424"/>
        <c:crosses val="autoZero"/>
        <c:auto val="1"/>
        <c:lblAlgn val="ctr"/>
        <c:lblOffset val="100"/>
        <c:noMultiLvlLbl val="0"/>
      </c:catAx>
      <c:valAx>
        <c:axId val="56327042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5632725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[Hr_Analytics_Dashboard_2026.xlsx]avg_depar!PivotTable12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avg_depar!$B$3</c:f>
              <c:strCache>
                <c:ptCount val="1"/>
                <c:pt idx="0">
                  <c:v>Total</c:v>
                </c:pt>
              </c:strCache>
            </c:strRef>
          </c:tx>
          <c:spPr>
            <a:solidFill>
              <a:schemeClr val="accent1"/>
            </a:solidFill>
            <a:ln>
              <a:noFill/>
            </a:ln>
            <a:effectLst/>
          </c:spPr>
          <c:invertIfNegative val="0"/>
          <c:cat>
            <c:strRef>
              <c:f>avg_depar!$A$4:$A$5</c:f>
              <c:strCache>
                <c:ptCount val="1"/>
                <c:pt idx="0">
                  <c:v>Finance</c:v>
                </c:pt>
              </c:strCache>
            </c:strRef>
          </c:cat>
          <c:val>
            <c:numRef>
              <c:f>avg_depar!$B$4:$B$5</c:f>
              <c:numCache>
                <c:formatCode>0.00</c:formatCode>
                <c:ptCount val="1"/>
                <c:pt idx="0">
                  <c:v>49000</c:v>
                </c:pt>
              </c:numCache>
            </c:numRef>
          </c:val>
          <c:extLst>
            <c:ext xmlns:c16="http://schemas.microsoft.com/office/drawing/2014/chart" uri="{C3380CC4-5D6E-409C-BE32-E72D297353CC}">
              <c16:uniqueId val="{00000000-4287-4666-A25B-A259BBF00B34}"/>
            </c:ext>
          </c:extLst>
        </c:ser>
        <c:dLbls>
          <c:showLegendKey val="0"/>
          <c:showVal val="0"/>
          <c:showCatName val="0"/>
          <c:showSerName val="0"/>
          <c:showPercent val="0"/>
          <c:showBubbleSize val="0"/>
        </c:dLbls>
        <c:gapWidth val="150"/>
        <c:overlap val="100"/>
        <c:axId val="566636056"/>
        <c:axId val="566633240"/>
      </c:barChart>
      <c:catAx>
        <c:axId val="5666360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6633240"/>
        <c:crosses val="autoZero"/>
        <c:auto val="1"/>
        <c:lblAlgn val="ctr"/>
        <c:lblOffset val="100"/>
        <c:noMultiLvlLbl val="0"/>
      </c:catAx>
      <c:valAx>
        <c:axId val="566633240"/>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66360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[Hr_Analytics_Dashboard_2026.xlsx]emp_depa!PivotTable8</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t>Department-wise Employees</a:t>
            </a:r>
            <a:endParaRPr lang="en-IN"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emp_depa!$B$3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emp_depa!$A$4:$A$5</c:f>
              <c:strCache>
                <c:ptCount val="1"/>
                <c:pt idx="0">
                  <c:v>Finance</c:v>
                </c:pt>
              </c:strCache>
            </c:strRef>
          </c:cat>
          <c:val>
            <c:numRef>
              <c:f>emp_depa!$B$4:$B$5</c:f>
              <c:numCache>
                <c:formatCode>General</c:formatCode>
                <c:ptCount val="1"/>
                <c:pt idx="0">
                  <c:v>1</c:v>
                </c:pt>
              </c:numCache>
            </c:numRef>
          </c:val>
          <c:extLst>
            <c:ext xmlns:c16="http://schemas.microsoft.com/office/drawing/2014/chart" uri="{C3380CC4-5D6E-409C-BE32-E72D297353CC}">
              <c16:uniqueId val="{00000000-4390-4F03-BF7E-932F646A2832}"/>
            </c:ext>
          </c:extLst>
        </c:ser>
        <c:dLbls>
          <c:dLblPos val="outEnd"/>
          <c:showLegendKey val="0"/>
          <c:showVal val="1"/>
          <c:showCatName val="0"/>
          <c:showSerName val="0"/>
          <c:showPercent val="0"/>
          <c:showBubbleSize val="0"/>
        </c:dLbls>
        <c:gapWidth val="219"/>
        <c:overlap val="-27"/>
        <c:axId val="566632536"/>
        <c:axId val="566635704"/>
      </c:barChart>
      <c:catAx>
        <c:axId val="5666325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566635704"/>
        <c:crosses val="autoZero"/>
        <c:auto val="1"/>
        <c:lblAlgn val="ctr"/>
        <c:lblOffset val="100"/>
        <c:noMultiLvlLbl val="0"/>
      </c:catAx>
      <c:valAx>
        <c:axId val="56663570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5666325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[Hr_Analytics_Dashboard_2026.xlsx]emp_gender!PivotTable10</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t>Gender Distribution</a:t>
            </a:r>
            <a:endParaRPr lang="en-IN" b="1"/>
          </a:p>
        </c:rich>
      </c:tx>
      <c:layout>
        <c:manualLayout>
          <c:xMode val="edge"/>
          <c:yMode val="edge"/>
          <c:x val="0.35165966754155731"/>
          <c:y val="2.604166666666666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gradFill>
              <a:gsLst>
                <a:gs pos="0">
                  <a:srgbClr val="4472C4">
                    <a:lumMod val="5000"/>
                    <a:lumOff val="95000"/>
                  </a:srgbClr>
                </a:gs>
                <a:gs pos="74000">
                  <a:srgbClr val="4472C4">
                    <a:lumMod val="45000"/>
                    <a:lumOff val="55000"/>
                  </a:srgbClr>
                </a:gs>
                <a:gs pos="83000">
                  <a:srgbClr val="4472C4">
                    <a:lumMod val="45000"/>
                    <a:lumOff val="55000"/>
                  </a:srgbClr>
                </a:gs>
                <a:gs pos="100000">
                  <a:srgbClr val="4472C4">
                    <a:lumMod val="30000"/>
                    <a:lumOff val="70000"/>
                  </a:srgbClr>
                </a:gs>
              </a:gsLst>
              <a:lin ang="5400000" scaled="1"/>
            </a:gra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pieChart>
        <c:varyColors val="1"/>
        <c:ser>
          <c:idx val="0"/>
          <c:order val="0"/>
          <c:tx>
            <c:strRef>
              <c:f>emp_gender!$B$3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496-43CE-AC91-66BB79CCA56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496-43CE-AC91-66BB79CCA56F}"/>
              </c:ext>
            </c:extLst>
          </c:dPt>
          <c:dLbls>
            <c:spPr>
              <a:gradFill>
                <a:gsLst>
                  <a:gs pos="0">
                    <a:srgbClr val="4472C4">
                      <a:lumMod val="5000"/>
                      <a:lumOff val="95000"/>
                    </a:srgbClr>
                  </a:gs>
                  <a:gs pos="74000">
                    <a:srgbClr val="4472C4">
                      <a:lumMod val="45000"/>
                      <a:lumOff val="55000"/>
                    </a:srgbClr>
                  </a:gs>
                  <a:gs pos="83000">
                    <a:srgbClr val="4472C4">
                      <a:lumMod val="45000"/>
                      <a:lumOff val="55000"/>
                    </a:srgbClr>
                  </a:gs>
                  <a:gs pos="100000">
                    <a:srgbClr val="4472C4">
                      <a:lumMod val="30000"/>
                      <a:lumOff val="70000"/>
                    </a:srgbClr>
                  </a:gs>
                </a:gsLst>
                <a:lin ang="5400000" scaled="1"/>
              </a:gra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emp_gender!$A$4:$A$5</c:f>
              <c:strCache>
                <c:ptCount val="1"/>
                <c:pt idx="0">
                  <c:v>Female</c:v>
                </c:pt>
              </c:strCache>
            </c:strRef>
          </c:cat>
          <c:val>
            <c:numRef>
              <c:f>emp_gender!$B$4:$B$5</c:f>
              <c:numCache>
                <c:formatCode>General</c:formatCode>
                <c:ptCount val="1"/>
                <c:pt idx="0">
                  <c:v>1</c:v>
                </c:pt>
              </c:numCache>
            </c:numRef>
          </c:val>
          <c:extLst>
            <c:ext xmlns:c16="http://schemas.microsoft.com/office/drawing/2014/chart" uri="{C3380CC4-5D6E-409C-BE32-E72D297353CC}">
              <c16:uniqueId val="{00000004-5496-43CE-AC91-66BB79CCA56F}"/>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[Hr_Analytics_Dashboard_2026.xlsx]attr_dep!PivotTable11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t>Attrition by Department</a:t>
            </a:r>
            <a:endParaRPr lang="en-IN" b="1"/>
          </a:p>
        </c:rich>
      </c:tx>
      <c:layout>
        <c:manualLayout>
          <c:xMode val="edge"/>
          <c:yMode val="edge"/>
          <c:x val="0.31334711286089234"/>
          <c:y val="9.157188684747739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362292213473315"/>
          <c:y val="0.15319444444444447"/>
          <c:w val="0.84337707786526683"/>
          <c:h val="0.72088764946048411"/>
        </c:manualLayout>
      </c:layout>
      <c:barChart>
        <c:barDir val="bar"/>
        <c:grouping val="clustered"/>
        <c:varyColors val="0"/>
        <c:ser>
          <c:idx val="0"/>
          <c:order val="0"/>
          <c:tx>
            <c:strRef>
              <c:f>attr_dep!$B$3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attr_dep!$A$4</c:f>
              <c:strCache>
                <c:ptCount val="1"/>
                <c:pt idx="0">
                  <c:v>Grand Total</c:v>
                </c:pt>
              </c:strCache>
            </c:strRef>
          </c:cat>
          <c:val>
            <c:numRef>
              <c:f>attr_dep!$B$4</c:f>
              <c:numCache>
                <c:formatCode>General</c:formatCode>
                <c:ptCount val="1"/>
              </c:numCache>
            </c:numRef>
          </c:val>
          <c:extLst>
            <c:ext xmlns:c16="http://schemas.microsoft.com/office/drawing/2014/chart" uri="{C3380CC4-5D6E-409C-BE32-E72D297353CC}">
              <c16:uniqueId val="{00000000-1EB8-4B1A-B6D3-7D015D44CEDA}"/>
            </c:ext>
          </c:extLst>
        </c:ser>
        <c:dLbls>
          <c:dLblPos val="outEnd"/>
          <c:showLegendKey val="0"/>
          <c:showVal val="1"/>
          <c:showCatName val="0"/>
          <c:showSerName val="0"/>
          <c:showPercent val="0"/>
          <c:showBubbleSize val="0"/>
        </c:dLbls>
        <c:gapWidth val="182"/>
        <c:axId val="563272536"/>
        <c:axId val="563270424"/>
      </c:barChart>
      <c:catAx>
        <c:axId val="563272536"/>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563270424"/>
        <c:crosses val="autoZero"/>
        <c:auto val="1"/>
        <c:lblAlgn val="ctr"/>
        <c:lblOffset val="100"/>
        <c:noMultiLvlLbl val="0"/>
      </c:catAx>
      <c:valAx>
        <c:axId val="563270424"/>
        <c:scaling>
          <c:orientation val="minMax"/>
        </c:scaling>
        <c:delete val="0"/>
        <c:axPos val="b"/>
        <c:numFmt formatCode="General" sourceLinked="1"/>
        <c:majorTickMark val="none"/>
        <c:minorTickMark val="none"/>
        <c:tickLblPos val="nextTo"/>
        <c:spPr>
          <a:noFill/>
          <a:ln>
            <a:solidFill>
              <a:sysClr val="windowText" lastClr="000000">
                <a:lumMod val="25000"/>
                <a:lumOff val="75000"/>
              </a:sysClr>
            </a:solidFill>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5632725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[Hr_Analytics_Dashboard_2026.xlsx]avg_depar!PivotTable12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t>Average Salary by Department</a:t>
            </a:r>
            <a:endParaRPr lang="en-IN"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avg_depar!$B$3</c:f>
              <c:strCache>
                <c:ptCount val="1"/>
                <c:pt idx="0">
                  <c:v>Total</c:v>
                </c:pt>
              </c:strCache>
            </c:strRef>
          </c:tx>
          <c:spPr>
            <a:solidFill>
              <a:schemeClr val="accent1"/>
            </a:solidFill>
            <a:ln>
              <a:noFill/>
            </a:ln>
            <a:effectLst/>
          </c:spPr>
          <c:invertIfNegative val="0"/>
          <c:cat>
            <c:strRef>
              <c:f>avg_depar!$A$4:$A$5</c:f>
              <c:strCache>
                <c:ptCount val="1"/>
                <c:pt idx="0">
                  <c:v>Finance</c:v>
                </c:pt>
              </c:strCache>
            </c:strRef>
          </c:cat>
          <c:val>
            <c:numRef>
              <c:f>avg_depar!$B$4:$B$5</c:f>
              <c:numCache>
                <c:formatCode>0.00</c:formatCode>
                <c:ptCount val="1"/>
                <c:pt idx="0">
                  <c:v>49000</c:v>
                </c:pt>
              </c:numCache>
            </c:numRef>
          </c:val>
          <c:extLst>
            <c:ext xmlns:c16="http://schemas.microsoft.com/office/drawing/2014/chart" uri="{C3380CC4-5D6E-409C-BE32-E72D297353CC}">
              <c16:uniqueId val="{00000000-3B43-4706-9272-7A953EA05E57}"/>
            </c:ext>
          </c:extLst>
        </c:ser>
        <c:dLbls>
          <c:showLegendKey val="0"/>
          <c:showVal val="0"/>
          <c:showCatName val="0"/>
          <c:showSerName val="0"/>
          <c:showPercent val="0"/>
          <c:showBubbleSize val="0"/>
        </c:dLbls>
        <c:gapWidth val="150"/>
        <c:overlap val="100"/>
        <c:axId val="566636056"/>
        <c:axId val="566633240"/>
      </c:barChart>
      <c:catAx>
        <c:axId val="5666360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566633240"/>
        <c:crosses val="autoZero"/>
        <c:auto val="1"/>
        <c:lblAlgn val="ctr"/>
        <c:lblOffset val="100"/>
        <c:noMultiLvlLbl val="0"/>
      </c:catAx>
      <c:valAx>
        <c:axId val="566633240"/>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5666360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2</xdr:col>
      <xdr:colOff>601980</xdr:colOff>
      <xdr:row>1</xdr:row>
      <xdr:rowOff>125730</xdr:rowOff>
    </xdr:from>
    <xdr:to>
      <xdr:col>10</xdr:col>
      <xdr:colOff>297180</xdr:colOff>
      <xdr:row>15</xdr:row>
      <xdr:rowOff>15240</xdr:rowOff>
    </xdr:to>
    <xdr:graphicFrame macro="">
      <xdr:nvGraphicFramePr>
        <xdr:cNvPr id="2" name="Chart 1">
          <a:extLst>
            <a:ext uri="{FF2B5EF4-FFF2-40B4-BE49-F238E27FC236}">
              <a16:creationId xmlns:a16="http://schemas.microsoft.com/office/drawing/2014/main" id="{95A2590B-0E5F-754D-32BB-2CEDB1F5FD3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403860</xdr:colOff>
      <xdr:row>2</xdr:row>
      <xdr:rowOff>179070</xdr:rowOff>
    </xdr:from>
    <xdr:to>
      <xdr:col>11</xdr:col>
      <xdr:colOff>99060</xdr:colOff>
      <xdr:row>17</xdr:row>
      <xdr:rowOff>179070</xdr:rowOff>
    </xdr:to>
    <xdr:graphicFrame macro="">
      <xdr:nvGraphicFramePr>
        <xdr:cNvPr id="2" name="Chart 1">
          <a:extLst>
            <a:ext uri="{FF2B5EF4-FFF2-40B4-BE49-F238E27FC236}">
              <a16:creationId xmlns:a16="http://schemas.microsoft.com/office/drawing/2014/main" id="{E3F04107-B809-CBBB-9DB3-F29441AD4C0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487680</xdr:colOff>
      <xdr:row>4</xdr:row>
      <xdr:rowOff>34290</xdr:rowOff>
    </xdr:from>
    <xdr:to>
      <xdr:col>11</xdr:col>
      <xdr:colOff>182880</xdr:colOff>
      <xdr:row>19</xdr:row>
      <xdr:rowOff>34290</xdr:rowOff>
    </xdr:to>
    <xdr:graphicFrame macro="">
      <xdr:nvGraphicFramePr>
        <xdr:cNvPr id="2" name="Chart 1">
          <a:extLst>
            <a:ext uri="{FF2B5EF4-FFF2-40B4-BE49-F238E27FC236}">
              <a16:creationId xmlns:a16="http://schemas.microsoft.com/office/drawing/2014/main" id="{97ED5450-3E93-DEFD-8D04-2215E295DB4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480060</xdr:colOff>
      <xdr:row>3</xdr:row>
      <xdr:rowOff>72390</xdr:rowOff>
    </xdr:from>
    <xdr:to>
      <xdr:col>11</xdr:col>
      <xdr:colOff>175260</xdr:colOff>
      <xdr:row>18</xdr:row>
      <xdr:rowOff>72390</xdr:rowOff>
    </xdr:to>
    <xdr:graphicFrame macro="">
      <xdr:nvGraphicFramePr>
        <xdr:cNvPr id="2" name="Chart 1">
          <a:extLst>
            <a:ext uri="{FF2B5EF4-FFF2-40B4-BE49-F238E27FC236}">
              <a16:creationId xmlns:a16="http://schemas.microsoft.com/office/drawing/2014/main" id="{A3D3A611-4BCF-12E3-966E-1BB3A71A939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449580</xdr:colOff>
      <xdr:row>11</xdr:row>
      <xdr:rowOff>175260</xdr:rowOff>
    </xdr:from>
    <xdr:to>
      <xdr:col>11</xdr:col>
      <xdr:colOff>403860</xdr:colOff>
      <xdr:row>25</xdr:row>
      <xdr:rowOff>0</xdr:rowOff>
    </xdr:to>
    <xdr:graphicFrame macro="">
      <xdr:nvGraphicFramePr>
        <xdr:cNvPr id="2" name="Chart 1">
          <a:extLst>
            <a:ext uri="{FF2B5EF4-FFF2-40B4-BE49-F238E27FC236}">
              <a16:creationId xmlns:a16="http://schemas.microsoft.com/office/drawing/2014/main" id="{5544550B-4B7C-4A48-A51D-574AB3EF39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0</xdr:colOff>
      <xdr:row>12</xdr:row>
      <xdr:rowOff>7620</xdr:rowOff>
    </xdr:from>
    <xdr:to>
      <xdr:col>19</xdr:col>
      <xdr:colOff>594360</xdr:colOff>
      <xdr:row>24</xdr:row>
      <xdr:rowOff>152400</xdr:rowOff>
    </xdr:to>
    <xdr:graphicFrame macro="">
      <xdr:nvGraphicFramePr>
        <xdr:cNvPr id="3" name="Chart 2">
          <a:extLst>
            <a:ext uri="{FF2B5EF4-FFF2-40B4-BE49-F238E27FC236}">
              <a16:creationId xmlns:a16="http://schemas.microsoft.com/office/drawing/2014/main" id="{B5F7E009-1211-4D45-A4C1-220070F8F4F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434340</xdr:colOff>
      <xdr:row>28</xdr:row>
      <xdr:rowOff>15240</xdr:rowOff>
    </xdr:from>
    <xdr:to>
      <xdr:col>11</xdr:col>
      <xdr:colOff>510540</xdr:colOff>
      <xdr:row>41</xdr:row>
      <xdr:rowOff>38100</xdr:rowOff>
    </xdr:to>
    <xdr:graphicFrame macro="">
      <xdr:nvGraphicFramePr>
        <xdr:cNvPr id="4" name="Chart 3">
          <a:extLst>
            <a:ext uri="{FF2B5EF4-FFF2-40B4-BE49-F238E27FC236}">
              <a16:creationId xmlns:a16="http://schemas.microsoft.com/office/drawing/2014/main" id="{C2155365-5172-4B9D-A50B-F5850EB27C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22860</xdr:colOff>
      <xdr:row>27</xdr:row>
      <xdr:rowOff>167640</xdr:rowOff>
    </xdr:from>
    <xdr:to>
      <xdr:col>20</xdr:col>
      <xdr:colOff>0</xdr:colOff>
      <xdr:row>40</xdr:row>
      <xdr:rowOff>175260</xdr:rowOff>
    </xdr:to>
    <xdr:graphicFrame macro="">
      <xdr:nvGraphicFramePr>
        <xdr:cNvPr id="5" name="Chart 4">
          <a:extLst>
            <a:ext uri="{FF2B5EF4-FFF2-40B4-BE49-F238E27FC236}">
              <a16:creationId xmlns:a16="http://schemas.microsoft.com/office/drawing/2014/main" id="{EF4FC267-D8BC-4299-8B77-2E8664B6A7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108857</xdr:colOff>
      <xdr:row>12</xdr:row>
      <xdr:rowOff>24312</xdr:rowOff>
    </xdr:from>
    <xdr:to>
      <xdr:col>3</xdr:col>
      <xdr:colOff>108857</xdr:colOff>
      <xdr:row>20</xdr:row>
      <xdr:rowOff>87086</xdr:rowOff>
    </xdr:to>
    <mc:AlternateContent xmlns:mc="http://schemas.openxmlformats.org/markup-compatibility/2006" xmlns:a14="http://schemas.microsoft.com/office/drawing/2010/main">
      <mc:Choice Requires="a14">
        <xdr:graphicFrame macro="">
          <xdr:nvGraphicFramePr>
            <xdr:cNvPr id="6" name="Department">
              <a:extLst>
                <a:ext uri="{FF2B5EF4-FFF2-40B4-BE49-F238E27FC236}">
                  <a16:creationId xmlns:a16="http://schemas.microsoft.com/office/drawing/2014/main" id="{610179C3-42C3-9113-76B4-627E575824B5}"/>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108857" y="2386512"/>
              <a:ext cx="1828800" cy="154323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89263</xdr:colOff>
      <xdr:row>21</xdr:row>
      <xdr:rowOff>80555</xdr:rowOff>
    </xdr:from>
    <xdr:to>
      <xdr:col>3</xdr:col>
      <xdr:colOff>89263</xdr:colOff>
      <xdr:row>27</xdr:row>
      <xdr:rowOff>32657</xdr:rowOff>
    </xdr:to>
    <mc:AlternateContent xmlns:mc="http://schemas.openxmlformats.org/markup-compatibility/2006" xmlns:a14="http://schemas.microsoft.com/office/drawing/2010/main">
      <mc:Choice Requires="a14">
        <xdr:graphicFrame macro="">
          <xdr:nvGraphicFramePr>
            <xdr:cNvPr id="7" name="Gender">
              <a:extLst>
                <a:ext uri="{FF2B5EF4-FFF2-40B4-BE49-F238E27FC236}">
                  <a16:creationId xmlns:a16="http://schemas.microsoft.com/office/drawing/2014/main" id="{DB47DF29-298B-E5E3-EB19-7ADAD161B005}"/>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89263" y="4108269"/>
              <a:ext cx="1828800" cy="106244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97971</xdr:colOff>
      <xdr:row>28</xdr:row>
      <xdr:rowOff>0</xdr:rowOff>
    </xdr:from>
    <xdr:to>
      <xdr:col>3</xdr:col>
      <xdr:colOff>97971</xdr:colOff>
      <xdr:row>36</xdr:row>
      <xdr:rowOff>130628</xdr:rowOff>
    </xdr:to>
    <mc:AlternateContent xmlns:mc="http://schemas.openxmlformats.org/markup-compatibility/2006" xmlns:a14="http://schemas.microsoft.com/office/drawing/2010/main">
      <mc:Choice Requires="a14">
        <xdr:graphicFrame macro="">
          <xdr:nvGraphicFramePr>
            <xdr:cNvPr id="8" name="Location">
              <a:extLst>
                <a:ext uri="{FF2B5EF4-FFF2-40B4-BE49-F238E27FC236}">
                  <a16:creationId xmlns:a16="http://schemas.microsoft.com/office/drawing/2014/main" id="{E0D445F9-2712-130B-9FD4-E2946280152A}"/>
                </a:ext>
              </a:extLst>
            </xdr:cNvPr>
            <xdr:cNvGraphicFramePr/>
          </xdr:nvGraphicFramePr>
          <xdr:xfrm>
            <a:off x="0" y="0"/>
            <a:ext cx="0" cy="0"/>
          </xdr:xfrm>
          <a:graphic>
            <a:graphicData uri="http://schemas.microsoft.com/office/drawing/2010/slicer">
              <sle:slicer xmlns:sle="http://schemas.microsoft.com/office/drawing/2010/slicer" name="Location"/>
            </a:graphicData>
          </a:graphic>
        </xdr:graphicFrame>
      </mc:Choice>
      <mc:Fallback xmlns="">
        <xdr:sp macro="" textlink="">
          <xdr:nvSpPr>
            <xdr:cNvPr id="0" name=""/>
            <xdr:cNvSpPr>
              <a:spLocks noTextEdit="1"/>
            </xdr:cNvSpPr>
          </xdr:nvSpPr>
          <xdr:spPr>
            <a:xfrm>
              <a:off x="97971" y="5323114"/>
              <a:ext cx="1828800" cy="161108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20</xdr:col>
      <xdr:colOff>266699</xdr:colOff>
      <xdr:row>5</xdr:row>
      <xdr:rowOff>15239</xdr:rowOff>
    </xdr:from>
    <xdr:to>
      <xdr:col>26</xdr:col>
      <xdr:colOff>152400</xdr:colOff>
      <xdr:row>33</xdr:row>
      <xdr:rowOff>21770</xdr:rowOff>
    </xdr:to>
    <xdr:sp macro="" textlink="">
      <xdr:nvSpPr>
        <xdr:cNvPr id="10" name="TextBox 9">
          <a:extLst>
            <a:ext uri="{FF2B5EF4-FFF2-40B4-BE49-F238E27FC236}">
              <a16:creationId xmlns:a16="http://schemas.microsoft.com/office/drawing/2014/main" id="{B222E9C9-7CA8-D3B4-F18E-60A7A2A75317}"/>
            </a:ext>
          </a:extLst>
        </xdr:cNvPr>
        <xdr:cNvSpPr txBox="1"/>
      </xdr:nvSpPr>
      <xdr:spPr>
        <a:xfrm>
          <a:off x="12458699" y="940525"/>
          <a:ext cx="3543301" cy="5329645"/>
        </a:xfrm>
        <a:prstGeom prst="rect">
          <a:avLst/>
        </a:prstGeom>
        <a:solidFill>
          <a:srgbClr val="F2F2F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1" u="sng">
              <a:solidFill>
                <a:schemeClr val="tx1"/>
              </a:solidFill>
            </a:rPr>
            <a:t>Key Insights</a:t>
          </a:r>
        </a:p>
        <a:p>
          <a:pPr algn="l"/>
          <a:r>
            <a:rPr lang="en-IN" sz="1400" b="0"/>
            <a:t>1 . The Sales department has the highest average salary among all departments, indicating stronger compensation levels compared to other functions.                             2 . Male employees represent a slight majority of the workforce, accounting for 53% of total employees.                                                             3 . Employee attrition is evenly distributed across all departments, with each department reporting one employee exit.                                                     </a:t>
          </a:r>
          <a:r>
            <a:rPr lang="en-IN" sz="1400" b="0" baseline="0"/>
            <a:t>               4 . </a:t>
          </a:r>
          <a:r>
            <a:rPr lang="en-IN" sz="1400" b="0"/>
            <a:t>The IT department has the largest workforce, employing 5 employees and representing the highest employee concentration in the organization.                       5 .The organization has an average employee experience of 5.2 years, indicating a moderately experienced workforce.</a:t>
          </a:r>
          <a:r>
            <a:rPr lang="en-IN" sz="1400" b="0" baseline="0"/>
            <a:t>                                                    </a:t>
          </a:r>
          <a:r>
            <a:rPr lang="en-IN" sz="1400" b="0"/>
            <a:t>6 . The overall attrition count is 4 employees out of 15, suggesting an attrition rate of approximately 26.7%.</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IKRISHNA" refreshedDate="46176.908279282405" createdVersion="8" refreshedVersion="8" minRefreshableVersion="3" recordCount="15" xr:uid="{0EBAC1D6-F7A1-47C7-8E8C-BE2BFEF087F2}">
  <cacheSource type="worksheet">
    <worksheetSource ref="A1:J16" sheet="Dataset_hr"/>
  </cacheSource>
  <cacheFields count="10">
    <cacheField name="Emp_ID" numFmtId="0">
      <sharedItems count="15">
        <s v="E001"/>
        <s v="E002"/>
        <s v="E003"/>
        <s v="E004"/>
        <s v="E005"/>
        <s v="E006"/>
        <s v="E007"/>
        <s v="E008"/>
        <s v="E009"/>
        <s v="E010"/>
        <s v="E011"/>
        <s v="E012"/>
        <s v="E013"/>
        <s v="E014"/>
        <s v="E015"/>
      </sharedItems>
    </cacheField>
    <cacheField name="Employee_Name" numFmtId="0">
      <sharedItems/>
    </cacheField>
    <cacheField name="Department" numFmtId="0">
      <sharedItems count="4">
        <s v="IT"/>
        <s v="HR"/>
        <s v="Finance"/>
        <s v="Sales"/>
      </sharedItems>
    </cacheField>
    <cacheField name="Gender" numFmtId="0">
      <sharedItems count="2">
        <s v="Male"/>
        <s v="Female"/>
      </sharedItems>
    </cacheField>
    <cacheField name="Age" numFmtId="2">
      <sharedItems containsSemiMixedTypes="0" containsString="0" containsNumber="1" containsInteger="1" minValue="25" maxValue="36"/>
    </cacheField>
    <cacheField name="Salary" numFmtId="2">
      <sharedItems containsSemiMixedTypes="0" containsString="0" containsNumber="1" containsInteger="1" minValue="40000" maxValue="65000" count="15">
        <n v="45000"/>
        <n v="50000"/>
        <n v="48000"/>
        <n v="42000"/>
        <n v="60000"/>
        <n v="52000"/>
        <n v="47000"/>
        <n v="55000"/>
        <n v="58000"/>
        <n v="40000"/>
        <n v="62000"/>
        <n v="49000"/>
        <n v="65000"/>
        <n v="46000"/>
        <n v="51000"/>
      </sharedItems>
    </cacheField>
    <cacheField name="Experience_Years" numFmtId="2">
      <sharedItems containsSemiMixedTypes="0" containsString="0" containsNumber="1" containsInteger="1" minValue="2" maxValue="10"/>
    </cacheField>
    <cacheField name="Location" numFmtId="0">
      <sharedItems count="4">
        <s v="Hyderabad"/>
        <s v="Bangalore"/>
        <s v="Chennai"/>
        <s v="Mumbai"/>
      </sharedItems>
    </cacheField>
    <cacheField name="Joining_Date" numFmtId="14">
      <sharedItems containsSemiMixedTypes="0" containsNonDate="0" containsDate="1" containsString="0" minDate="2015-07-15T00:00:00" maxDate="2022-09-02T00:00:00"/>
    </cacheField>
    <cacheField name="Attrition" numFmtId="0">
      <sharedItems count="2">
        <s v="No"/>
        <s v="Yes"/>
      </sharedItems>
    </cacheField>
  </cacheFields>
  <extLst>
    <ext xmlns:x14="http://schemas.microsoft.com/office/spreadsheetml/2009/9/main" uri="{725AE2AE-9491-48be-B2B4-4EB974FC3084}">
      <x14:pivotCacheDefinition pivotCacheId="108837733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
  <r>
    <x v="0"/>
    <s v="John"/>
    <x v="0"/>
    <x v="0"/>
    <n v="28"/>
    <x v="0"/>
    <n v="3"/>
    <x v="0"/>
    <d v="2021-01-15T00:00:00"/>
    <x v="0"/>
  </r>
  <r>
    <x v="1"/>
    <s v="Priya"/>
    <x v="1"/>
    <x v="1"/>
    <n v="32"/>
    <x v="1"/>
    <n v="5"/>
    <x v="1"/>
    <d v="2019-06-10T00:00:00"/>
    <x v="0"/>
  </r>
  <r>
    <x v="2"/>
    <s v="Rahul"/>
    <x v="2"/>
    <x v="0"/>
    <n v="29"/>
    <x v="2"/>
    <n v="4"/>
    <x v="2"/>
    <d v="2020-03-12T00:00:00"/>
    <x v="1"/>
  </r>
  <r>
    <x v="3"/>
    <s v="Sneha"/>
    <x v="0"/>
    <x v="1"/>
    <n v="26"/>
    <x v="3"/>
    <n v="2"/>
    <x v="0"/>
    <d v="2022-07-01T00:00:00"/>
    <x v="0"/>
  </r>
  <r>
    <x v="4"/>
    <s v="Arjun"/>
    <x v="3"/>
    <x v="0"/>
    <n v="35"/>
    <x v="4"/>
    <n v="8"/>
    <x v="3"/>
    <d v="2018-05-20T00:00:00"/>
    <x v="0"/>
  </r>
  <r>
    <x v="5"/>
    <s v="Kavya"/>
    <x v="1"/>
    <x v="1"/>
    <n v="30"/>
    <x v="5"/>
    <n v="6"/>
    <x v="1"/>
    <d v="2019-08-18T00:00:00"/>
    <x v="1"/>
  </r>
  <r>
    <x v="6"/>
    <s v="Rohit"/>
    <x v="2"/>
    <x v="0"/>
    <n v="27"/>
    <x v="6"/>
    <n v="3"/>
    <x v="2"/>
    <d v="2021-11-05T00:00:00"/>
    <x v="0"/>
  </r>
  <r>
    <x v="7"/>
    <s v="Divya"/>
    <x v="0"/>
    <x v="1"/>
    <n v="31"/>
    <x v="7"/>
    <n v="7"/>
    <x v="0"/>
    <d v="2017-04-14T00:00:00"/>
    <x v="0"/>
  </r>
  <r>
    <x v="8"/>
    <s v="Amit"/>
    <x v="3"/>
    <x v="0"/>
    <n v="33"/>
    <x v="8"/>
    <n v="7"/>
    <x v="3"/>
    <d v="2018-12-09T00:00:00"/>
    <x v="1"/>
  </r>
  <r>
    <x v="9"/>
    <s v="Pooja"/>
    <x v="1"/>
    <x v="1"/>
    <n v="25"/>
    <x v="9"/>
    <n v="2"/>
    <x v="1"/>
    <d v="2022-09-01T00:00:00"/>
    <x v="0"/>
  </r>
  <r>
    <x v="10"/>
    <s v="Vikram"/>
    <x v="0"/>
    <x v="0"/>
    <n v="34"/>
    <x v="10"/>
    <n v="9"/>
    <x v="0"/>
    <d v="2016-02-11T00:00:00"/>
    <x v="0"/>
  </r>
  <r>
    <x v="11"/>
    <s v="Neha"/>
    <x v="2"/>
    <x v="1"/>
    <n v="29"/>
    <x v="11"/>
    <n v="4"/>
    <x v="2"/>
    <d v="2020-10-21T00:00:00"/>
    <x v="0"/>
  </r>
  <r>
    <x v="12"/>
    <s v="Kiran"/>
    <x v="3"/>
    <x v="0"/>
    <n v="36"/>
    <x v="12"/>
    <n v="10"/>
    <x v="3"/>
    <d v="2015-07-15T00:00:00"/>
    <x v="0"/>
  </r>
  <r>
    <x v="13"/>
    <s v="Anjali"/>
    <x v="0"/>
    <x v="1"/>
    <n v="28"/>
    <x v="13"/>
    <n v="3"/>
    <x v="0"/>
    <d v="2021-05-06T00:00:00"/>
    <x v="1"/>
  </r>
  <r>
    <x v="14"/>
    <s v="Suresh"/>
    <x v="2"/>
    <x v="0"/>
    <n v="30"/>
    <x v="14"/>
    <n v="5"/>
    <x v="2"/>
    <d v="2019-01-25T00:00:0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6972A62-AFE3-4C05-98D0-192A84FECB77}"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5" firstHeaderRow="1" firstDataRow="1" firstDataCol="1"/>
  <pivotFields count="10">
    <pivotField dataField="1" showAll="0">
      <items count="16">
        <item x="0"/>
        <item x="1"/>
        <item x="2"/>
        <item x="3"/>
        <item x="4"/>
        <item x="5"/>
        <item x="6"/>
        <item x="7"/>
        <item x="8"/>
        <item x="9"/>
        <item x="10"/>
        <item x="11"/>
        <item x="12"/>
        <item x="13"/>
        <item x="14"/>
        <item t="default"/>
      </items>
    </pivotField>
    <pivotField showAll="0"/>
    <pivotField axis="axisRow" showAll="0">
      <items count="5">
        <item x="2"/>
        <item h="1" x="1"/>
        <item h="1" x="0"/>
        <item h="1" x="3"/>
        <item t="default"/>
      </items>
    </pivotField>
    <pivotField showAll="0">
      <items count="3">
        <item x="1"/>
        <item h="1" x="0"/>
        <item t="default"/>
      </items>
    </pivotField>
    <pivotField numFmtId="2" showAll="0"/>
    <pivotField numFmtId="2" showAll="0"/>
    <pivotField numFmtId="2" showAll="0"/>
    <pivotField showAll="0">
      <items count="5">
        <item h="1" x="1"/>
        <item x="2"/>
        <item h="1" x="0"/>
        <item h="1" x="3"/>
        <item t="default"/>
      </items>
    </pivotField>
    <pivotField numFmtId="14" showAll="0"/>
    <pivotField showAll="0"/>
  </pivotFields>
  <rowFields count="1">
    <field x="2"/>
  </rowFields>
  <rowItems count="2">
    <i>
      <x/>
    </i>
    <i t="grand">
      <x/>
    </i>
  </rowItems>
  <colItems count="1">
    <i/>
  </colItems>
  <dataFields count="1">
    <dataField name="Count of Emp_ID" fld="0" subtotal="count"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7001436-E450-4364-87B7-60489879EA6F}"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5" firstHeaderRow="1" firstDataRow="1" firstDataCol="1"/>
  <pivotFields count="10">
    <pivotField dataField="1" showAll="0">
      <items count="16">
        <item x="0"/>
        <item x="1"/>
        <item x="2"/>
        <item x="3"/>
        <item x="4"/>
        <item x="5"/>
        <item x="6"/>
        <item x="7"/>
        <item x="8"/>
        <item x="9"/>
        <item x="10"/>
        <item x="11"/>
        <item x="12"/>
        <item x="13"/>
        <item x="14"/>
        <item t="default"/>
      </items>
    </pivotField>
    <pivotField showAll="0"/>
    <pivotField showAll="0">
      <items count="5">
        <item x="2"/>
        <item h="1" x="1"/>
        <item h="1" x="0"/>
        <item h="1" x="3"/>
        <item t="default"/>
      </items>
    </pivotField>
    <pivotField axis="axisRow" showAll="0">
      <items count="3">
        <item x="1"/>
        <item h="1" x="0"/>
        <item t="default"/>
      </items>
    </pivotField>
    <pivotField numFmtId="2" showAll="0"/>
    <pivotField numFmtId="2" showAll="0"/>
    <pivotField numFmtId="2" showAll="0"/>
    <pivotField showAll="0">
      <items count="5">
        <item h="1" x="1"/>
        <item x="2"/>
        <item h="1" x="0"/>
        <item h="1" x="3"/>
        <item t="default"/>
      </items>
    </pivotField>
    <pivotField numFmtId="14" showAll="0"/>
    <pivotField showAll="0"/>
  </pivotFields>
  <rowFields count="1">
    <field x="3"/>
  </rowFields>
  <rowItems count="2">
    <i>
      <x/>
    </i>
    <i t="grand">
      <x/>
    </i>
  </rowItems>
  <colItems count="1">
    <i/>
  </colItems>
  <dataFields count="1">
    <dataField name="Count of Emp_ID" fld="0" subtotal="count" baseField="0" baseItem="0"/>
  </dataField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3" count="1" selected="0">
            <x v="0"/>
          </reference>
        </references>
      </pivotArea>
    </chartFormat>
    <chartFormat chart="0" format="2">
      <pivotArea type="data" outline="0" fieldPosition="0">
        <references count="2">
          <reference field="4294967294" count="1" selected="0">
            <x v="0"/>
          </reference>
          <reference field="3" count="1" selected="0">
            <x v="1"/>
          </reference>
        </references>
      </pivotArea>
    </chartFormat>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3" count="1" selected="0">
            <x v="0"/>
          </reference>
        </references>
      </pivotArea>
    </chartFormat>
    <chartFormat chart="2" format="8">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2EAD931-B03F-4F84-BC9D-D6127002EF2E}"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chartFormat="3">
  <location ref="A3:B4" firstHeaderRow="1" firstDataRow="1" firstDataCol="1" rowPageCount="1" colPageCount="1"/>
  <pivotFields count="10">
    <pivotField showAll="0"/>
    <pivotField showAll="0"/>
    <pivotField axis="axisRow" showAll="0">
      <items count="5">
        <item x="2"/>
        <item h="1" x="1"/>
        <item h="1" x="0"/>
        <item h="1" x="3"/>
        <item t="default"/>
      </items>
    </pivotField>
    <pivotField showAll="0">
      <items count="3">
        <item x="1"/>
        <item h="1" x="0"/>
        <item t="default"/>
      </items>
    </pivotField>
    <pivotField numFmtId="2" showAll="0"/>
    <pivotField numFmtId="2" showAll="0"/>
    <pivotField numFmtId="2" showAll="0"/>
    <pivotField showAll="0">
      <items count="5">
        <item h="1" x="1"/>
        <item x="2"/>
        <item h="1" x="0"/>
        <item h="1" x="3"/>
        <item t="default"/>
      </items>
    </pivotField>
    <pivotField numFmtId="14" showAll="0"/>
    <pivotField axis="axisPage" dataField="1" multipleItemSelectionAllowed="1" showAll="0">
      <items count="3">
        <item h="1" x="0"/>
        <item x="1"/>
        <item t="default"/>
      </items>
    </pivotField>
  </pivotFields>
  <rowFields count="1">
    <field x="2"/>
  </rowFields>
  <rowItems count="1">
    <i t="grand">
      <x/>
    </i>
  </rowItems>
  <colItems count="1">
    <i/>
  </colItems>
  <pageFields count="1">
    <pageField fld="9" hier="-1"/>
  </pageFields>
  <dataFields count="1">
    <dataField name="Count of Attrition" fld="9" subtotal="count"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187DF9B-E380-4727-9210-ECB0480179D6}"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5" firstHeaderRow="1" firstDataRow="1" firstDataCol="1"/>
  <pivotFields count="10">
    <pivotField showAll="0"/>
    <pivotField showAll="0"/>
    <pivotField axis="axisRow" showAll="0">
      <items count="5">
        <item x="2"/>
        <item h="1" x="1"/>
        <item h="1" x="0"/>
        <item h="1" x="3"/>
        <item t="default"/>
      </items>
    </pivotField>
    <pivotField showAll="0">
      <items count="3">
        <item x="1"/>
        <item h="1" x="0"/>
        <item t="default"/>
      </items>
    </pivotField>
    <pivotField numFmtId="2" showAll="0"/>
    <pivotField dataField="1" numFmtId="2" showAll="0">
      <items count="16">
        <item x="9"/>
        <item x="3"/>
        <item x="0"/>
        <item x="13"/>
        <item x="6"/>
        <item x="2"/>
        <item x="11"/>
        <item x="1"/>
        <item x="14"/>
        <item x="5"/>
        <item x="7"/>
        <item x="8"/>
        <item x="4"/>
        <item x="10"/>
        <item x="12"/>
        <item t="default"/>
      </items>
    </pivotField>
    <pivotField numFmtId="2" showAll="0"/>
    <pivotField showAll="0">
      <items count="5">
        <item h="1" x="1"/>
        <item x="2"/>
        <item h="1" x="0"/>
        <item h="1" x="3"/>
        <item t="default"/>
      </items>
    </pivotField>
    <pivotField numFmtId="14" showAll="0"/>
    <pivotField showAll="0"/>
  </pivotFields>
  <rowFields count="1">
    <field x="2"/>
  </rowFields>
  <rowItems count="2">
    <i>
      <x/>
    </i>
    <i t="grand">
      <x/>
    </i>
  </rowItems>
  <colItems count="1">
    <i/>
  </colItems>
  <dataFields count="1">
    <dataField name="Average of Salary" fld="5" subtotal="average" baseField="2" baseItem="1" numFmtId="2"/>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2DBEFE6-2D28-49EC-BBF3-DC03EC773684}"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8" firstHeaderRow="1" firstDataRow="1" firstDataCol="1"/>
  <pivotFields count="10">
    <pivotField showAll="0"/>
    <pivotField showAll="0"/>
    <pivotField axis="axisRow" showAll="0">
      <items count="5">
        <item x="2"/>
        <item x="1"/>
        <item x="0"/>
        <item x="3"/>
        <item t="default"/>
      </items>
    </pivotField>
    <pivotField showAll="0"/>
    <pivotField numFmtId="2" showAll="0"/>
    <pivotField numFmtId="2" showAll="0"/>
    <pivotField dataField="1" numFmtId="2" showAll="0"/>
    <pivotField showAll="0"/>
    <pivotField numFmtId="14" showAll="0"/>
    <pivotField showAll="0"/>
  </pivotFields>
  <rowFields count="1">
    <field x="2"/>
  </rowFields>
  <rowItems count="5">
    <i>
      <x/>
    </i>
    <i>
      <x v="1"/>
    </i>
    <i>
      <x v="2"/>
    </i>
    <i>
      <x v="3"/>
    </i>
    <i t="grand">
      <x/>
    </i>
  </rowItems>
  <colItems count="1">
    <i/>
  </colItems>
  <dataFields count="1">
    <dataField name="Average of Experience_Years" fld="6" subtotal="average" baseField="2"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25891B3-F473-44DB-B5E0-7069048C090E}"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
  <location ref="A3:B8" firstHeaderRow="1" firstDataRow="1" firstDataCol="1" rowPageCount="1" colPageCount="1"/>
  <pivotFields count="10">
    <pivotField showAll="0"/>
    <pivotField showAll="0"/>
    <pivotField axis="axisRow" showAll="0">
      <items count="5">
        <item x="2"/>
        <item x="1"/>
        <item x="0"/>
        <item x="3"/>
        <item t="default"/>
      </items>
    </pivotField>
    <pivotField showAll="0"/>
    <pivotField numFmtId="2" showAll="0"/>
    <pivotField numFmtId="2" showAll="0"/>
    <pivotField numFmtId="2" showAll="0"/>
    <pivotField showAll="0"/>
    <pivotField numFmtId="14" showAll="0"/>
    <pivotField axis="axisPage" dataField="1" multipleItemSelectionAllowed="1" showAll="0">
      <items count="3">
        <item h="1" x="0"/>
        <item x="1"/>
        <item t="default"/>
      </items>
    </pivotField>
  </pivotFields>
  <rowFields count="1">
    <field x="2"/>
  </rowFields>
  <rowItems count="5">
    <i>
      <x/>
    </i>
    <i>
      <x v="1"/>
    </i>
    <i>
      <x v="2"/>
    </i>
    <i>
      <x v="3"/>
    </i>
    <i t="grand">
      <x/>
    </i>
  </rowItems>
  <colItems count="1">
    <i/>
  </colItems>
  <pageFields count="1">
    <pageField fld="9" hier="-1"/>
  </pageFields>
  <dataFields count="1">
    <dataField name="Count of Attrition" fld="9"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F4211B33-1BB9-4B0E-91D6-47A2334C9DED}" sourceName="Department">
  <pivotTables>
    <pivotTable tabId="2" name="PivotTable8"/>
    <pivotTable tabId="5" name="PivotTable11"/>
    <pivotTable tabId="6" name="PivotTable12"/>
    <pivotTable tabId="4" name="PivotTable10"/>
  </pivotTables>
  <data>
    <tabular pivotCacheId="1088377330">
      <items count="4">
        <i x="2" s="1"/>
        <i x="1" nd="1"/>
        <i x="0" nd="1"/>
        <i x="3"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5379D2BE-5767-45B3-8E45-42C13E49BBAA}" sourceName="Gender">
  <pivotTables>
    <pivotTable tabId="2" name="PivotTable8"/>
    <pivotTable tabId="5" name="PivotTable11"/>
    <pivotTable tabId="6" name="PivotTable12"/>
    <pivotTable tabId="4" name="PivotTable10"/>
  </pivotTables>
  <data>
    <tabular pivotCacheId="1088377330">
      <items count="2">
        <i x="1" s="1"/>
        <i x="0"/>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cation" xr10:uid="{2C0010CB-06CF-407E-9F21-BFDA19EC76D8}" sourceName="Location">
  <pivotTables>
    <pivotTable tabId="2" name="PivotTable8"/>
    <pivotTable tabId="5" name="PivotTable11"/>
    <pivotTable tabId="6" name="PivotTable12"/>
    <pivotTable tabId="4" name="PivotTable10"/>
  </pivotTables>
  <data>
    <tabular pivotCacheId="1088377330">
      <items count="4">
        <i x="2" s="1"/>
        <i x="1" nd="1"/>
        <i x="0" nd="1"/>
        <i x="3"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B2D20B3B-CF8D-4A0F-BEBC-6C772BB1F037}" cache="Slicer_Department" caption="Department" rowHeight="234950"/>
  <slicer name="Gender" xr10:uid="{A017299A-4AED-4605-8794-B67A66903E5E}" cache="Slicer_Gender" caption="Gender" rowHeight="234950"/>
  <slicer name="Location" xr10:uid="{64757C78-AA9B-4363-A19B-D2EBAD157CE3}" cache="Slicer_Location" caption="Location"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93809C-B7C7-49C0-8836-90F641A82CB5}">
  <dimension ref="A3:B5"/>
  <sheetViews>
    <sheetView workbookViewId="0">
      <selection activeCell="B8" sqref="B8"/>
    </sheetView>
  </sheetViews>
  <sheetFormatPr defaultRowHeight="14.4" x14ac:dyDescent="0.3"/>
  <cols>
    <col min="1" max="1" width="12.5546875" bestFit="1" customWidth="1"/>
    <col min="2" max="2" width="15.44140625" bestFit="1" customWidth="1"/>
  </cols>
  <sheetData>
    <row r="3" spans="1:2" x14ac:dyDescent="0.3">
      <c r="A3" s="7" t="s">
        <v>52</v>
      </c>
      <c r="B3" t="s">
        <v>54</v>
      </c>
    </row>
    <row r="4" spans="1:2" x14ac:dyDescent="0.3">
      <c r="A4" s="8" t="s">
        <v>23</v>
      </c>
      <c r="B4" s="19">
        <v>1</v>
      </c>
    </row>
    <row r="5" spans="1:2" x14ac:dyDescent="0.3">
      <c r="A5" s="8" t="s">
        <v>53</v>
      </c>
      <c r="B5" s="19">
        <v>1</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AECADD-5762-4B6A-9268-8644E49C7BD2}">
  <dimension ref="A3:B5"/>
  <sheetViews>
    <sheetView workbookViewId="0">
      <selection activeCell="B5" sqref="B5"/>
    </sheetView>
  </sheetViews>
  <sheetFormatPr defaultRowHeight="14.4" x14ac:dyDescent="0.3"/>
  <cols>
    <col min="1" max="1" width="12.5546875" bestFit="1" customWidth="1"/>
    <col min="2" max="2" width="15.44140625" bestFit="1" customWidth="1"/>
  </cols>
  <sheetData>
    <row r="3" spans="1:2" x14ac:dyDescent="0.3">
      <c r="A3" s="7" t="s">
        <v>52</v>
      </c>
      <c r="B3" t="s">
        <v>54</v>
      </c>
    </row>
    <row r="4" spans="1:2" x14ac:dyDescent="0.3">
      <c r="A4" s="8" t="s">
        <v>19</v>
      </c>
      <c r="B4" s="19">
        <v>1</v>
      </c>
    </row>
    <row r="5" spans="1:2" x14ac:dyDescent="0.3">
      <c r="A5" s="8" t="s">
        <v>53</v>
      </c>
      <c r="B5" s="19">
        <v>1</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D383F9-8495-4B1B-8DD5-EF10DA51676C}">
  <dimension ref="A1:B4"/>
  <sheetViews>
    <sheetView workbookViewId="0">
      <selection activeCell="H26" sqref="H26"/>
    </sheetView>
  </sheetViews>
  <sheetFormatPr defaultRowHeight="14.4" x14ac:dyDescent="0.3"/>
  <cols>
    <col min="1" max="1" width="12.5546875" bestFit="1" customWidth="1"/>
    <col min="2" max="2" width="15.88671875" bestFit="1" customWidth="1"/>
  </cols>
  <sheetData>
    <row r="1" spans="1:2" x14ac:dyDescent="0.3">
      <c r="A1" s="7" t="s">
        <v>9</v>
      </c>
      <c r="B1" t="s">
        <v>25</v>
      </c>
    </row>
    <row r="3" spans="1:2" x14ac:dyDescent="0.3">
      <c r="A3" s="7" t="s">
        <v>52</v>
      </c>
      <c r="B3" t="s">
        <v>55</v>
      </c>
    </row>
    <row r="4" spans="1:2" x14ac:dyDescent="0.3">
      <c r="A4" s="8" t="s">
        <v>53</v>
      </c>
      <c r="B4" s="19"/>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FD9D0F-065A-4C14-BB28-289BAB867B64}">
  <dimension ref="A3:B5"/>
  <sheetViews>
    <sheetView workbookViewId="0">
      <selection activeCell="J21" sqref="J21"/>
    </sheetView>
  </sheetViews>
  <sheetFormatPr defaultRowHeight="14.4" x14ac:dyDescent="0.3"/>
  <cols>
    <col min="1" max="1" width="12.5546875" bestFit="1" customWidth="1"/>
    <col min="2" max="2" width="15.77734375" bestFit="1" customWidth="1"/>
  </cols>
  <sheetData>
    <row r="3" spans="1:2" x14ac:dyDescent="0.3">
      <c r="A3" s="7" t="s">
        <v>52</v>
      </c>
      <c r="B3" t="s">
        <v>56</v>
      </c>
    </row>
    <row r="4" spans="1:2" x14ac:dyDescent="0.3">
      <c r="A4" s="8" t="s">
        <v>23</v>
      </c>
      <c r="B4" s="6">
        <v>49000</v>
      </c>
    </row>
    <row r="5" spans="1:2" x14ac:dyDescent="0.3">
      <c r="A5" s="8" t="s">
        <v>53</v>
      </c>
      <c r="B5" s="6">
        <v>49000</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595AC2-1DA5-4FE6-BD49-6E4F9A2D9022}">
  <dimension ref="A1:Z8"/>
  <sheetViews>
    <sheetView showGridLines="0" tabSelected="1" zoomScale="70" zoomScaleNormal="70" workbookViewId="0">
      <selection activeCell="AF14" sqref="AF14"/>
    </sheetView>
  </sheetViews>
  <sheetFormatPr defaultRowHeight="14.4" x14ac:dyDescent="0.3"/>
  <sheetData>
    <row r="1" spans="1:26" ht="14.4" customHeight="1" x14ac:dyDescent="0.3">
      <c r="A1" s="14" t="s">
        <v>57</v>
      </c>
      <c r="B1" s="14"/>
      <c r="C1" s="14"/>
      <c r="D1" s="14"/>
      <c r="E1" s="14"/>
      <c r="F1" s="14"/>
      <c r="G1" s="14"/>
      <c r="H1" s="14"/>
      <c r="I1" s="14"/>
      <c r="J1" s="14"/>
      <c r="K1" s="14"/>
      <c r="L1" s="14"/>
      <c r="M1" s="14"/>
      <c r="N1" s="14"/>
      <c r="O1" s="14"/>
      <c r="P1" s="14"/>
      <c r="Q1" s="14"/>
      <c r="R1" s="14"/>
      <c r="S1" s="14"/>
      <c r="T1" s="14"/>
      <c r="U1" s="14"/>
      <c r="V1" s="14"/>
      <c r="W1" s="14"/>
      <c r="X1" s="14"/>
      <c r="Y1" s="14"/>
      <c r="Z1" s="14"/>
    </row>
    <row r="2" spans="1:26" ht="14.4" customHeight="1" x14ac:dyDescent="0.3">
      <c r="A2" s="14"/>
      <c r="B2" s="14"/>
      <c r="C2" s="14"/>
      <c r="D2" s="14"/>
      <c r="E2" s="14"/>
      <c r="F2" s="14"/>
      <c r="G2" s="14"/>
      <c r="H2" s="14"/>
      <c r="I2" s="14"/>
      <c r="J2" s="14"/>
      <c r="K2" s="14"/>
      <c r="L2" s="14"/>
      <c r="M2" s="14"/>
      <c r="N2" s="14"/>
      <c r="O2" s="14"/>
      <c r="P2" s="14"/>
      <c r="Q2" s="14"/>
      <c r="R2" s="14"/>
      <c r="S2" s="14"/>
      <c r="T2" s="14"/>
      <c r="U2" s="14"/>
      <c r="V2" s="14"/>
      <c r="W2" s="14"/>
      <c r="X2" s="14"/>
      <c r="Y2" s="14"/>
      <c r="Z2" s="14"/>
    </row>
    <row r="3" spans="1:26" ht="14.4" customHeight="1" x14ac:dyDescent="0.3">
      <c r="A3" s="14"/>
      <c r="B3" s="14"/>
      <c r="C3" s="14"/>
      <c r="D3" s="14"/>
      <c r="E3" s="14"/>
      <c r="F3" s="14"/>
      <c r="G3" s="14"/>
      <c r="H3" s="14"/>
      <c r="I3" s="14"/>
      <c r="J3" s="14"/>
      <c r="K3" s="14"/>
      <c r="L3" s="14"/>
      <c r="M3" s="14"/>
      <c r="N3" s="14"/>
      <c r="O3" s="14"/>
      <c r="P3" s="14"/>
      <c r="Q3" s="14"/>
      <c r="R3" s="14"/>
      <c r="S3" s="14"/>
      <c r="T3" s="14"/>
      <c r="U3" s="14"/>
      <c r="V3" s="14"/>
      <c r="W3" s="14"/>
      <c r="X3" s="14"/>
      <c r="Y3" s="14"/>
      <c r="Z3" s="14"/>
    </row>
    <row r="6" spans="1:26" ht="14.4" customHeight="1" x14ac:dyDescent="0.3">
      <c r="A6" s="9" t="s">
        <v>61</v>
      </c>
      <c r="B6" s="12" t="s">
        <v>64</v>
      </c>
      <c r="C6" s="12"/>
      <c r="D6" s="12"/>
      <c r="E6" s="12"/>
      <c r="G6" s="12" t="s">
        <v>58</v>
      </c>
      <c r="H6" s="12"/>
      <c r="I6" s="12"/>
      <c r="J6" s="12"/>
      <c r="L6" s="12" t="s">
        <v>59</v>
      </c>
      <c r="M6" s="12"/>
      <c r="N6" s="12"/>
      <c r="O6" s="12"/>
      <c r="Q6" s="12" t="s">
        <v>60</v>
      </c>
      <c r="R6" s="12"/>
      <c r="S6" s="12"/>
      <c r="T6" s="12"/>
    </row>
    <row r="7" spans="1:26" x14ac:dyDescent="0.3">
      <c r="A7" s="10"/>
      <c r="B7" s="12"/>
      <c r="C7" s="12"/>
      <c r="D7" s="12"/>
      <c r="E7" s="12"/>
      <c r="G7" s="12"/>
      <c r="H7" s="12"/>
      <c r="I7" s="12"/>
      <c r="J7" s="12"/>
      <c r="L7" s="12"/>
      <c r="M7" s="12"/>
      <c r="N7" s="12"/>
      <c r="O7" s="12"/>
      <c r="Q7" s="12"/>
      <c r="R7" s="12"/>
      <c r="S7" s="12"/>
      <c r="T7" s="12"/>
    </row>
    <row r="8" spans="1:26" ht="25.8" x14ac:dyDescent="0.3">
      <c r="A8" s="10"/>
      <c r="B8" s="13" t="str">
        <f>GETPIVOTDATA("Emp_ID",emp_depa!$A$3)  &amp; "  Employees"</f>
        <v>1  Employees</v>
      </c>
      <c r="C8" s="13"/>
      <c r="D8" s="13"/>
      <c r="E8" s="13"/>
      <c r="G8" s="15" t="str">
        <f>"₹" &amp; TEXT(GETPIVOTDATA("Salary",avg_depar!$A$3), "#,##0")</f>
        <v>₹49,000</v>
      </c>
      <c r="H8" s="15"/>
      <c r="I8" s="15"/>
      <c r="J8" s="15"/>
      <c r="L8" s="11" t="str">
        <f>ROUND(GETPIVOTDATA("Experience_Years",avgexp_dep!$A$3),1) &amp; " Years"</f>
        <v>5.2 Years</v>
      </c>
      <c r="M8" s="11"/>
      <c r="N8" s="11"/>
      <c r="O8" s="11"/>
      <c r="Q8" s="13" t="str">
        <f>GETPIVOTDATA("Attrition",attCo_kpi!$A$3) &amp; "  Employees"</f>
        <v>4  Employees</v>
      </c>
      <c r="R8" s="13"/>
      <c r="S8" s="13"/>
      <c r="T8" s="13"/>
    </row>
  </sheetData>
  <mergeCells count="9">
    <mergeCell ref="L8:O8"/>
    <mergeCell ref="Q6:T7"/>
    <mergeCell ref="Q8:T8"/>
    <mergeCell ref="A1:Z3"/>
    <mergeCell ref="B6:E7"/>
    <mergeCell ref="B8:E8"/>
    <mergeCell ref="G6:J7"/>
    <mergeCell ref="G8:J8"/>
    <mergeCell ref="L6:O7"/>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171FC2-4EF9-444C-85BD-7C752AAD5280}">
  <dimension ref="A3:B8"/>
  <sheetViews>
    <sheetView workbookViewId="0">
      <selection activeCell="B6" sqref="B6"/>
    </sheetView>
  </sheetViews>
  <sheetFormatPr defaultRowHeight="14.4" x14ac:dyDescent="0.3"/>
  <cols>
    <col min="1" max="1" width="12.5546875" bestFit="1" customWidth="1"/>
    <col min="2" max="2" width="25.5546875" bestFit="1" customWidth="1"/>
  </cols>
  <sheetData>
    <row r="3" spans="1:2" x14ac:dyDescent="0.3">
      <c r="A3" s="7" t="s">
        <v>52</v>
      </c>
      <c r="B3" t="s">
        <v>62</v>
      </c>
    </row>
    <row r="4" spans="1:2" x14ac:dyDescent="0.3">
      <c r="A4" s="8" t="s">
        <v>23</v>
      </c>
      <c r="B4" s="6">
        <v>4</v>
      </c>
    </row>
    <row r="5" spans="1:2" x14ac:dyDescent="0.3">
      <c r="A5" s="8" t="s">
        <v>18</v>
      </c>
      <c r="B5" s="6">
        <v>4.333333333333333</v>
      </c>
    </row>
    <row r="6" spans="1:2" x14ac:dyDescent="0.3">
      <c r="A6" s="8" t="s">
        <v>12</v>
      </c>
      <c r="B6" s="6">
        <v>4.8</v>
      </c>
    </row>
    <row r="7" spans="1:2" x14ac:dyDescent="0.3">
      <c r="A7" s="8" t="s">
        <v>30</v>
      </c>
      <c r="B7" s="6">
        <v>8.3333333333333339</v>
      </c>
    </row>
    <row r="8" spans="1:2" x14ac:dyDescent="0.3">
      <c r="A8" s="8" t="s">
        <v>53</v>
      </c>
      <c r="B8" s="6">
        <v>5.2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3057E3-640A-4A8C-8A2F-7DB604B6C85B}">
  <dimension ref="A1:B8"/>
  <sheetViews>
    <sheetView workbookViewId="0">
      <selection activeCell="A3" sqref="A3"/>
    </sheetView>
  </sheetViews>
  <sheetFormatPr defaultRowHeight="14.4" x14ac:dyDescent="0.3"/>
  <cols>
    <col min="1" max="1" width="12.5546875" bestFit="1" customWidth="1"/>
    <col min="2" max="2" width="15.88671875" bestFit="1" customWidth="1"/>
  </cols>
  <sheetData>
    <row r="1" spans="1:2" x14ac:dyDescent="0.3">
      <c r="A1" s="7" t="s">
        <v>9</v>
      </c>
      <c r="B1" t="s">
        <v>25</v>
      </c>
    </row>
    <row r="3" spans="1:2" x14ac:dyDescent="0.3">
      <c r="A3" s="7" t="s">
        <v>63</v>
      </c>
      <c r="B3" t="s">
        <v>55</v>
      </c>
    </row>
    <row r="4" spans="1:2" x14ac:dyDescent="0.3">
      <c r="A4" s="8" t="s">
        <v>23</v>
      </c>
      <c r="B4">
        <v>1</v>
      </c>
    </row>
    <row r="5" spans="1:2" x14ac:dyDescent="0.3">
      <c r="A5" s="8" t="s">
        <v>18</v>
      </c>
      <c r="B5">
        <v>1</v>
      </c>
    </row>
    <row r="6" spans="1:2" x14ac:dyDescent="0.3">
      <c r="A6" s="8" t="s">
        <v>12</v>
      </c>
      <c r="B6">
        <v>1</v>
      </c>
    </row>
    <row r="7" spans="1:2" x14ac:dyDescent="0.3">
      <c r="A7" s="8" t="s">
        <v>30</v>
      </c>
      <c r="B7">
        <v>1</v>
      </c>
    </row>
    <row r="8" spans="1:2" x14ac:dyDescent="0.3">
      <c r="A8" s="8" t="s">
        <v>53</v>
      </c>
      <c r="B8">
        <v>4</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D97F84-CD0A-47BB-A97B-E4F91AA6D740}">
  <dimension ref="A1:J16"/>
  <sheetViews>
    <sheetView workbookViewId="0">
      <selection activeCell="M3" sqref="M3"/>
    </sheetView>
  </sheetViews>
  <sheetFormatPr defaultRowHeight="14.4" x14ac:dyDescent="0.3"/>
  <cols>
    <col min="5" max="5" width="8.88671875" style="18"/>
    <col min="6" max="7" width="8.88671875" style="6"/>
    <col min="9" max="9" width="10.33203125" bestFit="1" customWidth="1"/>
  </cols>
  <sheetData>
    <row r="1" spans="1:10" ht="28.8" x14ac:dyDescent="0.3">
      <c r="A1" s="1" t="s">
        <v>0</v>
      </c>
      <c r="B1" s="1" t="s">
        <v>1</v>
      </c>
      <c r="C1" s="1" t="s">
        <v>2</v>
      </c>
      <c r="D1" s="1" t="s">
        <v>3</v>
      </c>
      <c r="E1" s="16" t="s">
        <v>4</v>
      </c>
      <c r="F1" s="4" t="s">
        <v>5</v>
      </c>
      <c r="G1" s="4" t="s">
        <v>6</v>
      </c>
      <c r="H1" s="1" t="s">
        <v>7</v>
      </c>
      <c r="I1" s="1" t="s">
        <v>8</v>
      </c>
      <c r="J1" s="1" t="s">
        <v>9</v>
      </c>
    </row>
    <row r="2" spans="1:10" ht="28.8" x14ac:dyDescent="0.3">
      <c r="A2" s="2" t="s">
        <v>10</v>
      </c>
      <c r="B2" s="2" t="s">
        <v>11</v>
      </c>
      <c r="C2" s="2" t="s">
        <v>12</v>
      </c>
      <c r="D2" s="2" t="s">
        <v>13</v>
      </c>
      <c r="E2" s="17">
        <v>28</v>
      </c>
      <c r="F2" s="5">
        <v>45000</v>
      </c>
      <c r="G2" s="5">
        <v>3</v>
      </c>
      <c r="H2" s="2" t="s">
        <v>14</v>
      </c>
      <c r="I2" s="3">
        <v>44211</v>
      </c>
      <c r="J2" s="2" t="s">
        <v>15</v>
      </c>
    </row>
    <row r="3" spans="1:10" ht="28.8" x14ac:dyDescent="0.3">
      <c r="A3" s="2" t="s">
        <v>16</v>
      </c>
      <c r="B3" s="2" t="s">
        <v>17</v>
      </c>
      <c r="C3" s="2" t="s">
        <v>18</v>
      </c>
      <c r="D3" s="2" t="s">
        <v>19</v>
      </c>
      <c r="E3" s="17">
        <v>32</v>
      </c>
      <c r="F3" s="5">
        <v>50000</v>
      </c>
      <c r="G3" s="5">
        <v>5</v>
      </c>
      <c r="H3" s="2" t="s">
        <v>20</v>
      </c>
      <c r="I3" s="3">
        <v>43626</v>
      </c>
      <c r="J3" s="2" t="s">
        <v>15</v>
      </c>
    </row>
    <row r="4" spans="1:10" x14ac:dyDescent="0.3">
      <c r="A4" s="2" t="s">
        <v>21</v>
      </c>
      <c r="B4" s="2" t="s">
        <v>22</v>
      </c>
      <c r="C4" s="2" t="s">
        <v>23</v>
      </c>
      <c r="D4" s="2" t="s">
        <v>13</v>
      </c>
      <c r="E4" s="17">
        <v>29</v>
      </c>
      <c r="F4" s="5">
        <v>48000</v>
      </c>
      <c r="G4" s="5">
        <v>4</v>
      </c>
      <c r="H4" s="2" t="s">
        <v>24</v>
      </c>
      <c r="I4" s="3">
        <v>43902</v>
      </c>
      <c r="J4" s="2" t="s">
        <v>25</v>
      </c>
    </row>
    <row r="5" spans="1:10" ht="28.8" x14ac:dyDescent="0.3">
      <c r="A5" s="2" t="s">
        <v>26</v>
      </c>
      <c r="B5" s="2" t="s">
        <v>27</v>
      </c>
      <c r="C5" s="2" t="s">
        <v>12</v>
      </c>
      <c r="D5" s="2" t="s">
        <v>19</v>
      </c>
      <c r="E5" s="17">
        <v>26</v>
      </c>
      <c r="F5" s="5">
        <v>42000</v>
      </c>
      <c r="G5" s="5">
        <v>2</v>
      </c>
      <c r="H5" s="2" t="s">
        <v>14</v>
      </c>
      <c r="I5" s="3">
        <v>44743</v>
      </c>
      <c r="J5" s="2" t="s">
        <v>15</v>
      </c>
    </row>
    <row r="6" spans="1:10" x14ac:dyDescent="0.3">
      <c r="A6" s="2" t="s">
        <v>28</v>
      </c>
      <c r="B6" s="2" t="s">
        <v>29</v>
      </c>
      <c r="C6" s="2" t="s">
        <v>30</v>
      </c>
      <c r="D6" s="2" t="s">
        <v>13</v>
      </c>
      <c r="E6" s="17">
        <v>35</v>
      </c>
      <c r="F6" s="5">
        <v>60000</v>
      </c>
      <c r="G6" s="5">
        <v>8</v>
      </c>
      <c r="H6" s="2" t="s">
        <v>31</v>
      </c>
      <c r="I6" s="3">
        <v>43240</v>
      </c>
      <c r="J6" s="2" t="s">
        <v>15</v>
      </c>
    </row>
    <row r="7" spans="1:10" ht="28.8" x14ac:dyDescent="0.3">
      <c r="A7" s="2" t="s">
        <v>32</v>
      </c>
      <c r="B7" s="2" t="s">
        <v>33</v>
      </c>
      <c r="C7" s="2" t="s">
        <v>18</v>
      </c>
      <c r="D7" s="2" t="s">
        <v>19</v>
      </c>
      <c r="E7" s="17">
        <v>30</v>
      </c>
      <c r="F7" s="5">
        <v>52000</v>
      </c>
      <c r="G7" s="5">
        <v>6</v>
      </c>
      <c r="H7" s="2" t="s">
        <v>20</v>
      </c>
      <c r="I7" s="3">
        <v>43695</v>
      </c>
      <c r="J7" s="2" t="s">
        <v>25</v>
      </c>
    </row>
    <row r="8" spans="1:10" x14ac:dyDescent="0.3">
      <c r="A8" s="2" t="s">
        <v>34</v>
      </c>
      <c r="B8" s="2" t="s">
        <v>35</v>
      </c>
      <c r="C8" s="2" t="s">
        <v>23</v>
      </c>
      <c r="D8" s="2" t="s">
        <v>13</v>
      </c>
      <c r="E8" s="17">
        <v>27</v>
      </c>
      <c r="F8" s="5">
        <v>47000</v>
      </c>
      <c r="G8" s="5">
        <v>3</v>
      </c>
      <c r="H8" s="2" t="s">
        <v>24</v>
      </c>
      <c r="I8" s="3">
        <v>44505</v>
      </c>
      <c r="J8" s="2" t="s">
        <v>15</v>
      </c>
    </row>
    <row r="9" spans="1:10" ht="28.8" x14ac:dyDescent="0.3">
      <c r="A9" s="2" t="s">
        <v>36</v>
      </c>
      <c r="B9" s="2" t="s">
        <v>37</v>
      </c>
      <c r="C9" s="2" t="s">
        <v>12</v>
      </c>
      <c r="D9" s="2" t="s">
        <v>19</v>
      </c>
      <c r="E9" s="17">
        <v>31</v>
      </c>
      <c r="F9" s="5">
        <v>55000</v>
      </c>
      <c r="G9" s="5">
        <v>7</v>
      </c>
      <c r="H9" s="2" t="s">
        <v>14</v>
      </c>
      <c r="I9" s="3">
        <v>42839</v>
      </c>
      <c r="J9" s="2" t="s">
        <v>15</v>
      </c>
    </row>
    <row r="10" spans="1:10" x14ac:dyDescent="0.3">
      <c r="A10" s="2" t="s">
        <v>38</v>
      </c>
      <c r="B10" s="2" t="s">
        <v>39</v>
      </c>
      <c r="C10" s="2" t="s">
        <v>30</v>
      </c>
      <c r="D10" s="2" t="s">
        <v>13</v>
      </c>
      <c r="E10" s="17">
        <v>33</v>
      </c>
      <c r="F10" s="5">
        <v>58000</v>
      </c>
      <c r="G10" s="5">
        <v>7</v>
      </c>
      <c r="H10" s="2" t="s">
        <v>31</v>
      </c>
      <c r="I10" s="3">
        <v>43443</v>
      </c>
      <c r="J10" s="2" t="s">
        <v>25</v>
      </c>
    </row>
    <row r="11" spans="1:10" ht="28.8" x14ac:dyDescent="0.3">
      <c r="A11" s="2" t="s">
        <v>40</v>
      </c>
      <c r="B11" s="2" t="s">
        <v>41</v>
      </c>
      <c r="C11" s="2" t="s">
        <v>18</v>
      </c>
      <c r="D11" s="2" t="s">
        <v>19</v>
      </c>
      <c r="E11" s="17">
        <v>25</v>
      </c>
      <c r="F11" s="5">
        <v>40000</v>
      </c>
      <c r="G11" s="5">
        <v>2</v>
      </c>
      <c r="H11" s="2" t="s">
        <v>20</v>
      </c>
      <c r="I11" s="3">
        <v>44805</v>
      </c>
      <c r="J11" s="2" t="s">
        <v>15</v>
      </c>
    </row>
    <row r="12" spans="1:10" ht="28.8" x14ac:dyDescent="0.3">
      <c r="A12" s="2" t="s">
        <v>42</v>
      </c>
      <c r="B12" s="2" t="s">
        <v>43</v>
      </c>
      <c r="C12" s="2" t="s">
        <v>12</v>
      </c>
      <c r="D12" s="2" t="s">
        <v>13</v>
      </c>
      <c r="E12" s="17">
        <v>34</v>
      </c>
      <c r="F12" s="5">
        <v>62000</v>
      </c>
      <c r="G12" s="5">
        <v>9</v>
      </c>
      <c r="H12" s="2" t="s">
        <v>14</v>
      </c>
      <c r="I12" s="3">
        <v>42411</v>
      </c>
      <c r="J12" s="2" t="s">
        <v>15</v>
      </c>
    </row>
    <row r="13" spans="1:10" x14ac:dyDescent="0.3">
      <c r="A13" s="2" t="s">
        <v>44</v>
      </c>
      <c r="B13" s="2" t="s">
        <v>45</v>
      </c>
      <c r="C13" s="2" t="s">
        <v>23</v>
      </c>
      <c r="D13" s="2" t="s">
        <v>19</v>
      </c>
      <c r="E13" s="17">
        <v>29</v>
      </c>
      <c r="F13" s="5">
        <v>49000</v>
      </c>
      <c r="G13" s="5">
        <v>4</v>
      </c>
      <c r="H13" s="2" t="s">
        <v>24</v>
      </c>
      <c r="I13" s="3">
        <v>44125</v>
      </c>
      <c r="J13" s="2" t="s">
        <v>15</v>
      </c>
    </row>
    <row r="14" spans="1:10" x14ac:dyDescent="0.3">
      <c r="A14" s="2" t="s">
        <v>46</v>
      </c>
      <c r="B14" s="2" t="s">
        <v>47</v>
      </c>
      <c r="C14" s="2" t="s">
        <v>30</v>
      </c>
      <c r="D14" s="2" t="s">
        <v>13</v>
      </c>
      <c r="E14" s="17">
        <v>36</v>
      </c>
      <c r="F14" s="5">
        <v>65000</v>
      </c>
      <c r="G14" s="5">
        <v>10</v>
      </c>
      <c r="H14" s="2" t="s">
        <v>31</v>
      </c>
      <c r="I14" s="3">
        <v>42200</v>
      </c>
      <c r="J14" s="2" t="s">
        <v>15</v>
      </c>
    </row>
    <row r="15" spans="1:10" ht="28.8" x14ac:dyDescent="0.3">
      <c r="A15" s="2" t="s">
        <v>48</v>
      </c>
      <c r="B15" s="2" t="s">
        <v>49</v>
      </c>
      <c r="C15" s="2" t="s">
        <v>12</v>
      </c>
      <c r="D15" s="2" t="s">
        <v>19</v>
      </c>
      <c r="E15" s="17">
        <v>28</v>
      </c>
      <c r="F15" s="5">
        <v>46000</v>
      </c>
      <c r="G15" s="5">
        <v>3</v>
      </c>
      <c r="H15" s="2" t="s">
        <v>14</v>
      </c>
      <c r="I15" s="3">
        <v>44322</v>
      </c>
      <c r="J15" s="2" t="s">
        <v>25</v>
      </c>
    </row>
    <row r="16" spans="1:10" x14ac:dyDescent="0.3">
      <c r="A16" s="2" t="s">
        <v>50</v>
      </c>
      <c r="B16" s="2" t="s">
        <v>51</v>
      </c>
      <c r="C16" s="2" t="s">
        <v>23</v>
      </c>
      <c r="D16" s="2" t="s">
        <v>13</v>
      </c>
      <c r="E16" s="17">
        <v>30</v>
      </c>
      <c r="F16" s="5">
        <v>51000</v>
      </c>
      <c r="G16" s="5">
        <v>5</v>
      </c>
      <c r="H16" s="2" t="s">
        <v>24</v>
      </c>
      <c r="I16" s="3">
        <v>43490</v>
      </c>
      <c r="J16" s="2" t="s">
        <v>15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emp_depa</vt:lpstr>
      <vt:lpstr>emp_gender</vt:lpstr>
      <vt:lpstr>attr_dep</vt:lpstr>
      <vt:lpstr>avg_depar</vt:lpstr>
      <vt:lpstr>HR_DASHBOARD</vt:lpstr>
      <vt:lpstr>avgexp_dep</vt:lpstr>
      <vt:lpstr>attCo_kpi</vt:lpstr>
      <vt:lpstr>Dataset_hr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racharla suraj kumar</dc:creator>
  <cp:lastModifiedBy>racharla suraj kumar</cp:lastModifiedBy>
  <dcterms:created xsi:type="dcterms:W3CDTF">2026-06-03T16:15:31Z</dcterms:created>
  <dcterms:modified xsi:type="dcterms:W3CDTF">2026-06-12T06:13:26Z</dcterms:modified>
</cp:coreProperties>
</file>